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" sheetId="1" state="visible" r:id="rId1"/>
    <sheet name="TERM1" sheetId="2" state="visible" r:id="rId2"/>
    <sheet name="TERM2" sheetId="3" state="visible" r:id="rId3"/>
    <sheet name="TERM3" sheetId="4" state="visible" r:id="rId4"/>
    <sheet name="SUMMARY OF GRA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Class Record </t>
        </is>
      </c>
    </row>
    <row r="3">
      <c r="A3" t="inlineStr">
        <is>
          <t>(Waiting for the Official DepEd Order)</t>
        </is>
      </c>
    </row>
    <row r="4">
      <c r="B4" t="inlineStr">
        <is>
          <t>REGION</t>
        </is>
      </c>
      <c r="G4" t="inlineStr">
        <is>
          <t>IV-A CALABARZON</t>
        </is>
      </c>
      <c r="I4" t="inlineStr">
        <is>
          <t>DIVISION</t>
        </is>
      </c>
      <c r="L4" t="inlineStr">
        <is>
          <t>Rizal</t>
        </is>
      </c>
    </row>
    <row r="5">
      <c r="B5" t="inlineStr">
        <is>
          <t>SCHOOL NAME</t>
        </is>
      </c>
      <c r="G5" t="inlineStr">
        <is>
          <t>Angono National High School</t>
        </is>
      </c>
      <c r="Q5" t="inlineStr">
        <is>
          <t>SCHOOL ID</t>
        </is>
      </c>
      <c r="S5" t="inlineStr">
        <is>
          <t>301417</t>
        </is>
      </c>
      <c r="V5" t="inlineStr">
        <is>
          <t>SCHOOL YEAR</t>
        </is>
      </c>
      <c r="Y5" t="inlineStr">
        <is>
          <t>2026-2027</t>
        </is>
      </c>
    </row>
    <row r="7">
      <c r="F7" t="inlineStr">
        <is>
          <t xml:space="preserve">GRADE &amp; SECTION: </t>
        </is>
      </c>
      <c r="J7" t="inlineStr">
        <is>
          <t>Grade 7 - Masipag</t>
        </is>
      </c>
      <c r="N7" t="inlineStr">
        <is>
          <t>TEACHER:</t>
        </is>
      </c>
      <c r="Q7" t="inlineStr">
        <is>
          <t>Dela Cruz, Maria</t>
        </is>
      </c>
      <c r="W7" t="inlineStr">
        <is>
          <t>SUBJECT:</t>
        </is>
      </c>
      <c r="Y7" t="inlineStr">
        <is>
          <t>EPP</t>
        </is>
      </c>
    </row>
    <row r="8">
      <c r="B8" t="inlineStr">
        <is>
          <t>LEARNERS' NAMES</t>
        </is>
      </c>
    </row>
    <row r="10">
      <c r="B10" t="inlineStr">
        <is>
          <t>HIGHEST POSSIBLE SCORE</t>
        </is>
      </c>
    </row>
    <row r="11">
      <c r="B11" t="inlineStr">
        <is>
          <t xml:space="preserve">MALE </t>
        </is>
      </c>
    </row>
    <row r="12">
      <c r="A12" t="n">
        <v>1</v>
      </c>
      <c r="B12" t="inlineStr">
        <is>
          <t>Cruz, Andres</t>
        </is>
      </c>
    </row>
    <row r="13">
      <c r="A13" t="n">
        <v>2</v>
      </c>
      <c r="B13" t="inlineStr">
        <is>
          <t>Reyes, Bayani</t>
        </is>
      </c>
    </row>
    <row r="14">
      <c r="A14" t="n">
        <v>3</v>
      </c>
      <c r="B14" t="inlineStr">
        <is>
          <t>Santos, Carlo</t>
        </is>
      </c>
    </row>
    <row r="62">
      <c r="B62" t="inlineStr">
        <is>
          <t xml:space="preserve">FEMALE </t>
        </is>
      </c>
    </row>
    <row r="63">
      <c r="A63" t="n">
        <v>1</v>
      </c>
      <c r="B63" t="inlineStr">
        <is>
          <t>Aquino, Divina</t>
        </is>
      </c>
    </row>
    <row r="64">
      <c r="A64" t="n">
        <v>2</v>
      </c>
      <c r="B64" t="inlineStr">
        <is>
          <t>Bautista, Elena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AB64"/>
  <sheetViews>
    <sheetView workbookViewId="0">
      <selection activeCell="A1" sqref="A1"/>
    </sheetView>
  </sheetViews>
  <sheetFormatPr baseColWidth="8" defaultRowHeight="15"/>
  <sheetData>
    <row r="4">
      <c r="B4" t="inlineStr">
        <is>
          <t>REGION</t>
        </is>
      </c>
      <c r="G4">
        <f>INPUT!G4</f>
        <v/>
      </c>
      <c r="I4" t="inlineStr">
        <is>
          <t>DIVISION</t>
        </is>
      </c>
      <c r="L4">
        <f>INPUT!L4</f>
        <v/>
      </c>
    </row>
    <row r="5">
      <c r="B5" t="inlineStr">
        <is>
          <t>SCHOOL NAME</t>
        </is>
      </c>
      <c r="G5">
        <f>INPUT!G5</f>
        <v/>
      </c>
      <c r="Q5" t="inlineStr">
        <is>
          <t>SCHOOL ID</t>
        </is>
      </c>
      <c r="S5">
        <f>INPUT!S5</f>
        <v/>
      </c>
      <c r="V5" t="inlineStr">
        <is>
          <t>SCHOOL YEAR</t>
        </is>
      </c>
      <c r="Z5">
        <f>INPUT!Y5</f>
        <v/>
      </c>
    </row>
    <row r="7">
      <c r="A7" t="inlineStr">
        <is>
          <t>TERM 1</t>
        </is>
      </c>
      <c r="F7" t="inlineStr">
        <is>
          <t xml:space="preserve">GRADE &amp; SECTION: </t>
        </is>
      </c>
      <c r="J7">
        <f>INPUT!J7</f>
        <v/>
      </c>
      <c r="N7" t="inlineStr">
        <is>
          <t>TEACHER:</t>
        </is>
      </c>
      <c r="Q7">
        <f>INPUT!Q7</f>
        <v/>
      </c>
      <c r="X7" t="inlineStr">
        <is>
          <t>SUBJECT:</t>
        </is>
      </c>
      <c r="Z7">
        <f>INPUT!Y7</f>
        <v/>
      </c>
    </row>
    <row r="8">
      <c r="B8" t="inlineStr">
        <is>
          <t>LEARNERS' NAMES</t>
        </is>
      </c>
      <c r="F8" t="inlineStr">
        <is>
          <t>WRITTEN / ORAL WORKS (20%)</t>
        </is>
      </c>
      <c r="N8" t="inlineStr">
        <is>
          <t>PRODUCT / PERFORMANCE TASKS (60%)</t>
        </is>
      </c>
      <c r="T8" t="inlineStr">
        <is>
          <t>SUMMATIVE TESTS AND TERM EXAMINATIONS (20%)</t>
        </is>
      </c>
      <c r="Z8" t="inlineStr">
        <is>
          <t>Initial Grade</t>
        </is>
      </c>
      <c r="AA8" t="inlineStr">
        <is>
          <t>TERM GRADE</t>
        </is>
      </c>
      <c r="AB8" t="inlineStr">
        <is>
          <t>DESCRIPTOR</t>
        </is>
      </c>
    </row>
    <row r="9">
      <c r="F9" t="n">
        <v>1</v>
      </c>
      <c r="G9" t="n">
        <v>2</v>
      </c>
      <c r="H9" t="n">
        <v>3</v>
      </c>
      <c r="I9" t="n">
        <v>4</v>
      </c>
      <c r="J9" t="n">
        <v>5</v>
      </c>
      <c r="K9" t="inlineStr">
        <is>
          <t>Total</t>
        </is>
      </c>
      <c r="L9" t="inlineStr">
        <is>
          <t>PS</t>
        </is>
      </c>
      <c r="M9" t="inlineStr">
        <is>
          <t>WS</t>
        </is>
      </c>
      <c r="N9" t="n">
        <v>1</v>
      </c>
      <c r="O9" t="n">
        <v>2</v>
      </c>
      <c r="P9" t="n">
        <v>3</v>
      </c>
      <c r="Q9" t="inlineStr">
        <is>
          <t>Total</t>
        </is>
      </c>
      <c r="R9" t="inlineStr">
        <is>
          <t>PS</t>
        </is>
      </c>
      <c r="S9" t="inlineStr">
        <is>
          <t>WS</t>
        </is>
      </c>
      <c r="T9" t="inlineStr">
        <is>
          <t>ST1</t>
        </is>
      </c>
      <c r="U9" t="inlineStr">
        <is>
          <t>ST2</t>
        </is>
      </c>
      <c r="V9" t="inlineStr">
        <is>
          <t>TE</t>
        </is>
      </c>
      <c r="W9" t="inlineStr">
        <is>
          <t>Total</t>
        </is>
      </c>
      <c r="X9" t="inlineStr">
        <is>
          <t>PS</t>
        </is>
      </c>
      <c r="Y9" t="inlineStr">
        <is>
          <t>WS</t>
        </is>
      </c>
    </row>
    <row r="10">
      <c r="B10" t="inlineStr">
        <is>
          <t>HIGHEST POSSIBLE SCORE</t>
        </is>
      </c>
      <c r="F10" t="n">
        <v>10</v>
      </c>
      <c r="G10" t="n">
        <v>15</v>
      </c>
      <c r="H10" t="n">
        <v>15</v>
      </c>
      <c r="I10" t="n">
        <v>10</v>
      </c>
      <c r="J10" t="n">
        <v>15</v>
      </c>
      <c r="L10" t="n">
        <v>100</v>
      </c>
      <c r="M10" t="n">
        <v>0.2</v>
      </c>
      <c r="N10" t="n">
        <v>100</v>
      </c>
      <c r="O10" t="n">
        <v>100</v>
      </c>
      <c r="P10" t="n">
        <v>100</v>
      </c>
      <c r="R10" t="n">
        <v>100</v>
      </c>
      <c r="S10" t="n">
        <v>0.6</v>
      </c>
      <c r="T10" t="n">
        <v>50</v>
      </c>
      <c r="U10" t="n">
        <v>50</v>
      </c>
      <c r="V10" t="n">
        <v>50</v>
      </c>
      <c r="X10" t="n">
        <v>100</v>
      </c>
      <c r="Y10" t="n">
        <v>0.2</v>
      </c>
    </row>
    <row r="11">
      <c r="B11" t="inlineStr">
        <is>
          <t xml:space="preserve">MALE </t>
        </is>
      </c>
    </row>
    <row r="12">
      <c r="A12" t="n">
        <v>1</v>
      </c>
      <c r="B12">
        <f>INPUT!B12</f>
        <v/>
      </c>
      <c r="F12" t="n">
        <v>9</v>
      </c>
      <c r="G12" t="n">
        <v>13</v>
      </c>
      <c r="H12" t="n">
        <v>12</v>
      </c>
      <c r="I12" t="n">
        <v>10</v>
      </c>
      <c r="J12" t="n">
        <v>14</v>
      </c>
      <c r="N12" t="n">
        <v>99</v>
      </c>
      <c r="O12" t="n">
        <v>98</v>
      </c>
      <c r="P12" t="n">
        <v>97</v>
      </c>
      <c r="T12" t="n">
        <v>49</v>
      </c>
      <c r="U12" t="n">
        <v>48</v>
      </c>
      <c r="V12" t="n">
        <v>47</v>
      </c>
      <c r="Z12">
        <f>ROUND(1,2)</f>
        <v/>
      </c>
      <c r="AA12">
        <f>VLOOKUP(1,1,1)</f>
        <v/>
      </c>
    </row>
    <row r="13">
      <c r="A13" t="n">
        <v>2</v>
      </c>
      <c r="B13">
        <f>INPUT!B13</f>
        <v/>
      </c>
      <c r="F13" t="n">
        <v>8</v>
      </c>
      <c r="G13" t="n">
        <v>12</v>
      </c>
      <c r="H13" t="n">
        <v>15</v>
      </c>
      <c r="I13" t="n">
        <v>9</v>
      </c>
      <c r="J13" t="n">
        <v>13</v>
      </c>
      <c r="N13" t="n">
        <v>98</v>
      </c>
      <c r="O13" t="n">
        <v>97</v>
      </c>
      <c r="P13" t="n">
        <v>100</v>
      </c>
      <c r="T13" t="n">
        <v>48</v>
      </c>
      <c r="U13" t="n">
        <v>47</v>
      </c>
      <c r="Z13">
        <f>ROUND(1,2)</f>
        <v/>
      </c>
      <c r="AA13">
        <f>VLOOKUP(1,1,1)</f>
        <v/>
      </c>
    </row>
    <row r="14">
      <c r="A14" t="n">
        <v>3</v>
      </c>
      <c r="B14">
        <f>INPUT!B14</f>
        <v/>
      </c>
      <c r="F14" t="n">
        <v>7</v>
      </c>
      <c r="G14" t="n">
        <v>15</v>
      </c>
      <c r="H14" t="n">
        <v>14</v>
      </c>
      <c r="I14" t="n">
        <v>8</v>
      </c>
      <c r="J14" t="n">
        <v>12</v>
      </c>
      <c r="N14" t="n">
        <v>97</v>
      </c>
      <c r="O14" t="n">
        <v>100</v>
      </c>
      <c r="P14" t="n">
        <v>99</v>
      </c>
      <c r="T14" t="n">
        <v>47</v>
      </c>
      <c r="U14" t="n">
        <v>50</v>
      </c>
      <c r="V14" t="n">
        <v>49</v>
      </c>
      <c r="Z14">
        <f>ROUND(1,2)</f>
        <v/>
      </c>
      <c r="AA14">
        <f>VLOOKUP(1,1,1)</f>
        <v/>
      </c>
    </row>
    <row r="62">
      <c r="B62" t="inlineStr">
        <is>
          <t xml:space="preserve">FEMALE </t>
        </is>
      </c>
    </row>
    <row r="63">
      <c r="A63" t="n">
        <v>1</v>
      </c>
      <c r="B63">
        <f>INPUT!B63</f>
        <v/>
      </c>
      <c r="F63" t="n">
        <v>7</v>
      </c>
      <c r="G63" t="n">
        <v>15</v>
      </c>
      <c r="H63" t="n">
        <v>14</v>
      </c>
      <c r="I63" t="n">
        <v>8</v>
      </c>
      <c r="J63" t="n">
        <v>12</v>
      </c>
      <c r="N63" t="n">
        <v>97</v>
      </c>
      <c r="O63" t="n">
        <v>100</v>
      </c>
      <c r="P63" t="n">
        <v>99</v>
      </c>
      <c r="T63" t="n">
        <v>47</v>
      </c>
      <c r="U63" t="n">
        <v>50</v>
      </c>
      <c r="V63" t="n">
        <v>49</v>
      </c>
      <c r="Z63">
        <f>ROUND(1,2)</f>
        <v/>
      </c>
      <c r="AA63">
        <f>VLOOKUP(1,1,1)</f>
        <v/>
      </c>
    </row>
    <row r="64">
      <c r="A64" t="n">
        <v>2</v>
      </c>
      <c r="B64">
        <f>INPUT!B64</f>
        <v/>
      </c>
      <c r="F64" t="n">
        <v>10</v>
      </c>
      <c r="G64" t="n">
        <v>14</v>
      </c>
      <c r="H64" t="n">
        <v>13</v>
      </c>
      <c r="I64" t="n">
        <v>7</v>
      </c>
      <c r="J64" t="n">
        <v>15</v>
      </c>
      <c r="N64" t="n">
        <v>100</v>
      </c>
      <c r="O64" t="n">
        <v>99</v>
      </c>
      <c r="P64" t="n">
        <v>98</v>
      </c>
      <c r="T64" t="n">
        <v>50</v>
      </c>
      <c r="U64" t="n">
        <v>49</v>
      </c>
      <c r="V64" t="n">
        <v>48</v>
      </c>
      <c r="Z64">
        <f>ROUND(1,2)</f>
        <v/>
      </c>
      <c r="AA64">
        <f>VLOOKUP(1,1,1)</f>
        <v/>
      </c>
    </row>
  </sheetData>
  <mergeCells count="3">
    <mergeCell ref="F8:M8"/>
    <mergeCell ref="N8:S8"/>
    <mergeCell ref="T8:Y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AB64"/>
  <sheetViews>
    <sheetView workbookViewId="0">
      <selection activeCell="A1" sqref="A1"/>
    </sheetView>
  </sheetViews>
  <sheetFormatPr baseColWidth="8" defaultRowHeight="15"/>
  <sheetData>
    <row r="4">
      <c r="B4" t="inlineStr">
        <is>
          <t>REGION</t>
        </is>
      </c>
      <c r="G4">
        <f>INPUT!G4</f>
        <v/>
      </c>
      <c r="I4" t="inlineStr">
        <is>
          <t>DIVISION</t>
        </is>
      </c>
      <c r="L4">
        <f>INPUT!L4</f>
        <v/>
      </c>
    </row>
    <row r="5">
      <c r="B5" t="inlineStr">
        <is>
          <t>SCHOOL NAME</t>
        </is>
      </c>
      <c r="G5">
        <f>INPUT!G5</f>
        <v/>
      </c>
      <c r="Q5" t="inlineStr">
        <is>
          <t>SCHOOL ID</t>
        </is>
      </c>
      <c r="S5">
        <f>INPUT!S5</f>
        <v/>
      </c>
      <c r="V5" t="inlineStr">
        <is>
          <t>SCHOOL YEAR</t>
        </is>
      </c>
      <c r="Z5">
        <f>INPUT!Y5</f>
        <v/>
      </c>
    </row>
    <row r="7">
      <c r="A7" t="inlineStr">
        <is>
          <t>TERM 2</t>
        </is>
      </c>
      <c r="F7" t="inlineStr">
        <is>
          <t xml:space="preserve">GRADE &amp; SECTION: </t>
        </is>
      </c>
      <c r="J7">
        <f>INPUT!J7</f>
        <v/>
      </c>
      <c r="N7" t="inlineStr">
        <is>
          <t>TEACHER:</t>
        </is>
      </c>
      <c r="Q7">
        <f>INPUT!Q7</f>
        <v/>
      </c>
      <c r="X7" t="inlineStr">
        <is>
          <t>SUBJECT:</t>
        </is>
      </c>
      <c r="Z7">
        <f>INPUT!Y7</f>
        <v/>
      </c>
    </row>
    <row r="8">
      <c r="B8" t="inlineStr">
        <is>
          <t>LEARNERS' NAMES</t>
        </is>
      </c>
      <c r="F8" t="inlineStr">
        <is>
          <t>WRITTEN / ORAL WORKS (20%)</t>
        </is>
      </c>
      <c r="N8" t="inlineStr">
        <is>
          <t>PRODUCT / PERFORMANCE TASKS (60%)</t>
        </is>
      </c>
      <c r="T8" t="inlineStr">
        <is>
          <t>SUMMATIVE TESTS AND TERM EXAMINATIONS (20%)</t>
        </is>
      </c>
      <c r="Z8" t="inlineStr">
        <is>
          <t>Initial Grade</t>
        </is>
      </c>
      <c r="AA8" t="inlineStr">
        <is>
          <t>TERM GRADE</t>
        </is>
      </c>
      <c r="AB8" t="inlineStr">
        <is>
          <t>DESCRIPTOR</t>
        </is>
      </c>
    </row>
    <row r="9">
      <c r="F9" t="n">
        <v>1</v>
      </c>
      <c r="G9" t="n">
        <v>2</v>
      </c>
      <c r="H9" t="n">
        <v>3</v>
      </c>
      <c r="I9" t="n">
        <v>4</v>
      </c>
      <c r="J9" t="n">
        <v>5</v>
      </c>
      <c r="K9" t="inlineStr">
        <is>
          <t>Total</t>
        </is>
      </c>
      <c r="L9" t="inlineStr">
        <is>
          <t>PS</t>
        </is>
      </c>
      <c r="M9" t="inlineStr">
        <is>
          <t>WS</t>
        </is>
      </c>
      <c r="N9" t="n">
        <v>1</v>
      </c>
      <c r="O9" t="n">
        <v>2</v>
      </c>
      <c r="P9" t="n">
        <v>3</v>
      </c>
      <c r="Q9" t="inlineStr">
        <is>
          <t>Total</t>
        </is>
      </c>
      <c r="R9" t="inlineStr">
        <is>
          <t>PS</t>
        </is>
      </c>
      <c r="S9" t="inlineStr">
        <is>
          <t>WS</t>
        </is>
      </c>
      <c r="T9" t="inlineStr">
        <is>
          <t>ST1</t>
        </is>
      </c>
      <c r="U9" t="inlineStr">
        <is>
          <t>ST2</t>
        </is>
      </c>
      <c r="V9" t="inlineStr">
        <is>
          <t>TE</t>
        </is>
      </c>
      <c r="W9" t="inlineStr">
        <is>
          <t>Total</t>
        </is>
      </c>
      <c r="X9" t="inlineStr">
        <is>
          <t>PS</t>
        </is>
      </c>
      <c r="Y9" t="inlineStr">
        <is>
          <t>WS</t>
        </is>
      </c>
    </row>
    <row r="10">
      <c r="B10" t="inlineStr">
        <is>
          <t>HIGHEST POSSIBLE SCORE</t>
        </is>
      </c>
      <c r="F10" t="n">
        <v>10</v>
      </c>
      <c r="G10" t="n">
        <v>15</v>
      </c>
      <c r="H10" t="n">
        <v>15</v>
      </c>
      <c r="I10" t="n">
        <v>10</v>
      </c>
      <c r="J10" t="n">
        <v>15</v>
      </c>
      <c r="L10" t="n">
        <v>100</v>
      </c>
      <c r="M10" t="n">
        <v>0.2</v>
      </c>
      <c r="N10" t="n">
        <v>100</v>
      </c>
      <c r="O10" t="n">
        <v>100</v>
      </c>
      <c r="P10" t="n">
        <v>100</v>
      </c>
      <c r="R10" t="n">
        <v>100</v>
      </c>
      <c r="S10" t="n">
        <v>0.6</v>
      </c>
      <c r="T10" t="n">
        <v>50</v>
      </c>
      <c r="U10" t="n">
        <v>50</v>
      </c>
      <c r="V10" t="n">
        <v>50</v>
      </c>
      <c r="X10" t="n">
        <v>100</v>
      </c>
      <c r="Y10" t="n">
        <v>0.2</v>
      </c>
    </row>
    <row r="11">
      <c r="B11" t="inlineStr">
        <is>
          <t xml:space="preserve">MALE </t>
        </is>
      </c>
    </row>
    <row r="12">
      <c r="A12" t="n">
        <v>1</v>
      </c>
      <c r="B12">
        <f>INPUT!B12</f>
        <v/>
      </c>
      <c r="F12" t="n">
        <v>8</v>
      </c>
      <c r="G12" t="n">
        <v>12</v>
      </c>
      <c r="H12" t="n">
        <v>15</v>
      </c>
      <c r="I12" t="n">
        <v>9</v>
      </c>
      <c r="J12" t="n">
        <v>13</v>
      </c>
      <c r="N12" t="n">
        <v>98</v>
      </c>
      <c r="O12" t="n">
        <v>97</v>
      </c>
      <c r="P12" t="n">
        <v>100</v>
      </c>
      <c r="T12" t="n">
        <v>48</v>
      </c>
      <c r="U12" t="n">
        <v>47</v>
      </c>
      <c r="V12" t="n">
        <v>50</v>
      </c>
      <c r="Z12">
        <f>ROUND(1,2)</f>
        <v/>
      </c>
      <c r="AA12">
        <f>VLOOKUP(1,1,1)</f>
        <v/>
      </c>
    </row>
    <row r="13">
      <c r="A13" t="n">
        <v>2</v>
      </c>
      <c r="B13">
        <f>INPUT!B13</f>
        <v/>
      </c>
      <c r="F13" t="n">
        <v>7</v>
      </c>
      <c r="G13" t="n">
        <v>15</v>
      </c>
      <c r="H13" t="n">
        <v>14</v>
      </c>
      <c r="I13" t="n">
        <v>8</v>
      </c>
      <c r="J13" t="n">
        <v>12</v>
      </c>
      <c r="N13" t="n">
        <v>97</v>
      </c>
      <c r="O13" t="n">
        <v>100</v>
      </c>
      <c r="P13" t="n">
        <v>99</v>
      </c>
      <c r="T13" t="n">
        <v>47</v>
      </c>
      <c r="U13" t="n">
        <v>50</v>
      </c>
      <c r="V13" t="n">
        <v>49</v>
      </c>
      <c r="Z13">
        <f>ROUND(1,2)</f>
        <v/>
      </c>
      <c r="AA13">
        <f>VLOOKUP(1,1,1)</f>
        <v/>
      </c>
    </row>
    <row r="14">
      <c r="A14" t="n">
        <v>3</v>
      </c>
      <c r="B14">
        <f>INPUT!B14</f>
        <v/>
      </c>
      <c r="F14" t="n">
        <v>10</v>
      </c>
      <c r="G14" t="n">
        <v>14</v>
      </c>
      <c r="H14" t="n">
        <v>13</v>
      </c>
      <c r="I14" t="n">
        <v>7</v>
      </c>
      <c r="J14" t="n">
        <v>15</v>
      </c>
      <c r="N14" t="n">
        <v>100</v>
      </c>
      <c r="O14" t="n">
        <v>99</v>
      </c>
      <c r="P14" t="n">
        <v>98</v>
      </c>
      <c r="T14" t="n">
        <v>50</v>
      </c>
      <c r="U14" t="n">
        <v>49</v>
      </c>
      <c r="V14" t="n">
        <v>48</v>
      </c>
      <c r="Z14">
        <f>ROUND(1,2)</f>
        <v/>
      </c>
      <c r="AA14">
        <f>VLOOKUP(1,1,1)</f>
        <v/>
      </c>
    </row>
    <row r="62">
      <c r="B62" t="inlineStr">
        <is>
          <t xml:space="preserve">FEMALE </t>
        </is>
      </c>
    </row>
    <row r="63">
      <c r="A63" t="n">
        <v>1</v>
      </c>
      <c r="B63">
        <f>INPUT!B63</f>
        <v/>
      </c>
      <c r="F63" t="n">
        <v>10</v>
      </c>
      <c r="G63" t="n">
        <v>14</v>
      </c>
      <c r="H63" t="n">
        <v>13</v>
      </c>
      <c r="I63" t="n">
        <v>7</v>
      </c>
      <c r="J63" t="n">
        <v>15</v>
      </c>
      <c r="N63" t="n">
        <v>100</v>
      </c>
      <c r="O63" t="n">
        <v>99</v>
      </c>
      <c r="P63" t="n">
        <v>98</v>
      </c>
      <c r="T63" t="n">
        <v>50</v>
      </c>
      <c r="U63" t="n">
        <v>49</v>
      </c>
      <c r="V63" t="n">
        <v>48</v>
      </c>
      <c r="Z63">
        <f>ROUND(1,2)</f>
        <v/>
      </c>
      <c r="AA63">
        <f>VLOOKUP(1,1,1)</f>
        <v/>
      </c>
    </row>
    <row r="64">
      <c r="A64" t="n">
        <v>2</v>
      </c>
      <c r="B64">
        <f>INPUT!B64</f>
        <v/>
      </c>
      <c r="F64" t="n">
        <v>9</v>
      </c>
      <c r="G64" t="n">
        <v>13</v>
      </c>
      <c r="H64" t="n">
        <v>12</v>
      </c>
      <c r="I64" t="n">
        <v>10</v>
      </c>
      <c r="J64" t="n">
        <v>14</v>
      </c>
      <c r="N64" t="n">
        <v>99</v>
      </c>
      <c r="O64" t="n">
        <v>98</v>
      </c>
      <c r="P64" t="n">
        <v>97</v>
      </c>
      <c r="T64" t="n">
        <v>49</v>
      </c>
      <c r="U64" t="n">
        <v>48</v>
      </c>
      <c r="V64" t="n">
        <v>47</v>
      </c>
      <c r="Z64">
        <f>ROUND(1,2)</f>
        <v/>
      </c>
      <c r="AA64">
        <f>VLOOKUP(1,1,1)</f>
        <v/>
      </c>
    </row>
  </sheetData>
  <mergeCells count="3">
    <mergeCell ref="F8:M8"/>
    <mergeCell ref="N8:S8"/>
    <mergeCell ref="T8:Y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4:AB64"/>
  <sheetViews>
    <sheetView workbookViewId="0">
      <selection activeCell="A1" sqref="A1"/>
    </sheetView>
  </sheetViews>
  <sheetFormatPr baseColWidth="8" defaultRowHeight="15"/>
  <sheetData>
    <row r="4">
      <c r="B4" t="inlineStr">
        <is>
          <t>REGION</t>
        </is>
      </c>
      <c r="G4">
        <f>INPUT!G4</f>
        <v/>
      </c>
      <c r="I4" t="inlineStr">
        <is>
          <t>DIVISION</t>
        </is>
      </c>
      <c r="L4">
        <f>INPUT!L4</f>
        <v/>
      </c>
    </row>
    <row r="5">
      <c r="B5" t="inlineStr">
        <is>
          <t>SCHOOL NAME</t>
        </is>
      </c>
      <c r="G5">
        <f>INPUT!G5</f>
        <v/>
      </c>
      <c r="Q5" t="inlineStr">
        <is>
          <t>SCHOOL ID</t>
        </is>
      </c>
      <c r="S5">
        <f>INPUT!S5</f>
        <v/>
      </c>
      <c r="V5" t="inlineStr">
        <is>
          <t>SCHOOL YEAR</t>
        </is>
      </c>
      <c r="Z5">
        <f>INPUT!Y5</f>
        <v/>
      </c>
    </row>
    <row r="7">
      <c r="A7" t="inlineStr">
        <is>
          <t>TERM 3</t>
        </is>
      </c>
      <c r="F7" t="inlineStr">
        <is>
          <t xml:space="preserve">GRADE &amp; SECTION: </t>
        </is>
      </c>
      <c r="J7">
        <f>INPUT!J7</f>
        <v/>
      </c>
      <c r="N7" t="inlineStr">
        <is>
          <t>TEACHER:</t>
        </is>
      </c>
      <c r="Q7">
        <f>INPUT!Q7</f>
        <v/>
      </c>
      <c r="X7" t="inlineStr">
        <is>
          <t>SUBJECT:</t>
        </is>
      </c>
      <c r="Z7">
        <f>INPUT!Y7</f>
        <v/>
      </c>
    </row>
    <row r="8">
      <c r="B8" t="inlineStr">
        <is>
          <t>LEARNERS' NAMES</t>
        </is>
      </c>
      <c r="F8" t="inlineStr">
        <is>
          <t>WRITTEN / ORAL WORKS (20%)</t>
        </is>
      </c>
      <c r="N8" t="inlineStr">
        <is>
          <t>PRODUCT / PERFORMANCE TASKS (60%)</t>
        </is>
      </c>
      <c r="T8" t="inlineStr">
        <is>
          <t>SUMMATIVE TESTS AND TERM EXAMINATIONS (20%)</t>
        </is>
      </c>
      <c r="Z8" t="inlineStr">
        <is>
          <t>Initial Grade</t>
        </is>
      </c>
      <c r="AA8" t="inlineStr">
        <is>
          <t>TERM GRADE</t>
        </is>
      </c>
      <c r="AB8" t="inlineStr">
        <is>
          <t>DESCRIPTOR</t>
        </is>
      </c>
    </row>
    <row r="9">
      <c r="F9" t="n">
        <v>1</v>
      </c>
      <c r="G9" t="n">
        <v>2</v>
      </c>
      <c r="H9" t="n">
        <v>3</v>
      </c>
      <c r="I9" t="n">
        <v>4</v>
      </c>
      <c r="J9" t="n">
        <v>5</v>
      </c>
      <c r="K9" t="inlineStr">
        <is>
          <t>Total</t>
        </is>
      </c>
      <c r="L9" t="inlineStr">
        <is>
          <t>PS</t>
        </is>
      </c>
      <c r="M9" t="inlineStr">
        <is>
          <t>WS</t>
        </is>
      </c>
      <c r="N9" t="n">
        <v>1</v>
      </c>
      <c r="O9" t="n">
        <v>2</v>
      </c>
      <c r="P9" t="n">
        <v>3</v>
      </c>
      <c r="Q9" t="inlineStr">
        <is>
          <t>Total</t>
        </is>
      </c>
      <c r="R9" t="inlineStr">
        <is>
          <t>PS</t>
        </is>
      </c>
      <c r="S9" t="inlineStr">
        <is>
          <t>WS</t>
        </is>
      </c>
      <c r="T9" t="inlineStr">
        <is>
          <t>ST1</t>
        </is>
      </c>
      <c r="U9" t="inlineStr">
        <is>
          <t>ST2</t>
        </is>
      </c>
      <c r="V9" t="inlineStr">
        <is>
          <t>TE</t>
        </is>
      </c>
      <c r="W9" t="inlineStr">
        <is>
          <t>Total</t>
        </is>
      </c>
      <c r="X9" t="inlineStr">
        <is>
          <t>PS</t>
        </is>
      </c>
      <c r="Y9" t="inlineStr">
        <is>
          <t>WS</t>
        </is>
      </c>
    </row>
    <row r="10">
      <c r="B10" t="inlineStr">
        <is>
          <t>HIGHEST POSSIBLE SCORE</t>
        </is>
      </c>
      <c r="F10" t="n">
        <v>10</v>
      </c>
      <c r="G10" t="n">
        <v>15</v>
      </c>
      <c r="H10" t="n">
        <v>15</v>
      </c>
      <c r="I10" t="n">
        <v>10</v>
      </c>
      <c r="J10" t="n">
        <v>15</v>
      </c>
      <c r="L10" t="n">
        <v>100</v>
      </c>
      <c r="M10" t="n">
        <v>0.2</v>
      </c>
      <c r="N10" t="n">
        <v>100</v>
      </c>
      <c r="O10" t="n">
        <v>100</v>
      </c>
      <c r="P10" t="n">
        <v>100</v>
      </c>
      <c r="R10" t="n">
        <v>100</v>
      </c>
      <c r="S10" t="n">
        <v>0.6</v>
      </c>
      <c r="T10" t="n">
        <v>50</v>
      </c>
      <c r="U10" t="n">
        <v>50</v>
      </c>
      <c r="V10" t="n">
        <v>50</v>
      </c>
      <c r="X10" t="n">
        <v>100</v>
      </c>
      <c r="Y10" t="n">
        <v>0.2</v>
      </c>
    </row>
    <row r="11">
      <c r="B11" t="inlineStr">
        <is>
          <t xml:space="preserve">MALE </t>
        </is>
      </c>
    </row>
    <row r="12">
      <c r="A12" t="n">
        <v>1</v>
      </c>
      <c r="B12">
        <f>INPUT!B12</f>
        <v/>
      </c>
      <c r="F12" t="n">
        <v>7</v>
      </c>
      <c r="G12" t="n">
        <v>15</v>
      </c>
      <c r="H12" t="n">
        <v>14</v>
      </c>
      <c r="I12" t="n">
        <v>8</v>
      </c>
      <c r="J12" t="n">
        <v>12</v>
      </c>
      <c r="N12" t="n">
        <v>97</v>
      </c>
      <c r="O12" t="n">
        <v>100</v>
      </c>
      <c r="P12" t="n">
        <v>99</v>
      </c>
      <c r="T12" t="n">
        <v>47</v>
      </c>
      <c r="U12" t="n">
        <v>50</v>
      </c>
      <c r="V12" t="n">
        <v>49</v>
      </c>
      <c r="Z12">
        <f>ROUND(1,2)</f>
        <v/>
      </c>
      <c r="AA12">
        <f>VLOOKUP(1,1,1)</f>
        <v/>
      </c>
    </row>
    <row r="13">
      <c r="A13" t="n">
        <v>2</v>
      </c>
      <c r="B13">
        <f>INPUT!B13</f>
        <v/>
      </c>
      <c r="F13" t="n">
        <v>10</v>
      </c>
      <c r="G13" t="n">
        <v>14</v>
      </c>
      <c r="H13" t="n">
        <v>13</v>
      </c>
      <c r="I13" t="n">
        <v>7</v>
      </c>
      <c r="J13" t="n">
        <v>15</v>
      </c>
      <c r="N13" t="n">
        <v>100</v>
      </c>
      <c r="O13" t="n">
        <v>99</v>
      </c>
      <c r="P13" t="n">
        <v>98</v>
      </c>
      <c r="T13" t="n">
        <v>50</v>
      </c>
      <c r="U13" t="n">
        <v>49</v>
      </c>
      <c r="V13" t="n">
        <v>48</v>
      </c>
      <c r="Z13">
        <f>ROUND(1,2)</f>
        <v/>
      </c>
      <c r="AA13">
        <f>VLOOKUP(1,1,1)</f>
        <v/>
      </c>
    </row>
    <row r="14">
      <c r="A14" t="n">
        <v>3</v>
      </c>
      <c r="B14">
        <f>INPUT!B14</f>
        <v/>
      </c>
      <c r="F14" t="n">
        <v>9</v>
      </c>
      <c r="G14" t="n">
        <v>13</v>
      </c>
      <c r="H14" t="n">
        <v>12</v>
      </c>
      <c r="I14" t="n">
        <v>10</v>
      </c>
      <c r="J14" t="n">
        <v>14</v>
      </c>
      <c r="N14" t="n">
        <v>99</v>
      </c>
      <c r="O14" t="n">
        <v>98</v>
      </c>
      <c r="P14" t="n">
        <v>97</v>
      </c>
      <c r="T14" t="n">
        <v>49</v>
      </c>
      <c r="U14" t="n">
        <v>48</v>
      </c>
      <c r="V14" t="n">
        <v>47</v>
      </c>
      <c r="Z14">
        <f>ROUND(1,2)</f>
        <v/>
      </c>
      <c r="AA14">
        <f>VLOOKUP(1,1,1)</f>
        <v/>
      </c>
    </row>
    <row r="62">
      <c r="B62" t="inlineStr">
        <is>
          <t xml:space="preserve">FEMALE </t>
        </is>
      </c>
    </row>
    <row r="63">
      <c r="A63" t="n">
        <v>1</v>
      </c>
      <c r="B63">
        <f>INPUT!B63</f>
        <v/>
      </c>
      <c r="F63" t="n">
        <v>9</v>
      </c>
      <c r="G63" t="n">
        <v>13</v>
      </c>
      <c r="H63" t="n">
        <v>12</v>
      </c>
      <c r="I63" t="n">
        <v>10</v>
      </c>
      <c r="J63" t="n">
        <v>14</v>
      </c>
      <c r="N63" t="n">
        <v>99</v>
      </c>
      <c r="O63" t="n">
        <v>98</v>
      </c>
      <c r="P63" t="n">
        <v>97</v>
      </c>
      <c r="T63" t="n">
        <v>49</v>
      </c>
      <c r="U63" t="n">
        <v>48</v>
      </c>
      <c r="V63" t="n">
        <v>47</v>
      </c>
      <c r="Z63">
        <f>ROUND(1,2)</f>
        <v/>
      </c>
      <c r="AA63">
        <f>VLOOKUP(1,1,1)</f>
        <v/>
      </c>
    </row>
    <row r="64">
      <c r="A64" t="n">
        <v>2</v>
      </c>
      <c r="B64">
        <f>INPUT!B64</f>
        <v/>
      </c>
      <c r="F64" t="n">
        <v>8</v>
      </c>
      <c r="G64" t="n">
        <v>12</v>
      </c>
      <c r="H64" t="n">
        <v>15</v>
      </c>
      <c r="I64" t="n">
        <v>9</v>
      </c>
      <c r="J64" t="n">
        <v>13</v>
      </c>
      <c r="N64" t="n">
        <v>98</v>
      </c>
      <c r="O64" t="n">
        <v>97</v>
      </c>
      <c r="P64" t="n">
        <v>100</v>
      </c>
      <c r="T64" t="n">
        <v>48</v>
      </c>
      <c r="U64" t="n">
        <v>47</v>
      </c>
      <c r="V64" t="n">
        <v>50</v>
      </c>
      <c r="Z64">
        <f>ROUND(1,2)</f>
        <v/>
      </c>
      <c r="AA64">
        <f>VLOOKUP(1,1,1)</f>
        <v/>
      </c>
    </row>
  </sheetData>
  <mergeCells count="3">
    <mergeCell ref="F8:M8"/>
    <mergeCell ref="N8:S8"/>
    <mergeCell ref="T8:Y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OF GRADES</t>
        </is>
      </c>
    </row>
    <row r="10">
      <c r="F10" t="inlineStr">
        <is>
          <t>TERM 1</t>
        </is>
      </c>
      <c r="J10" t="inlineStr">
        <is>
          <t>TERM 2</t>
        </is>
      </c>
      <c r="N10" t="inlineStr">
        <is>
          <t>TERM 3</t>
        </is>
      </c>
      <c r="R10" t="inlineStr">
        <is>
          <t>FINAL GRADE</t>
        </is>
      </c>
      <c r="V10" t="inlineStr">
        <is>
          <t>DESCRIPTOR</t>
        </is>
      </c>
      <c r="Z10" t="inlineStr">
        <is>
          <t>REMARK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2026-08-23T08:26:40Z</dcterms:created>
  <dcterms:modified xsi:type="dcterms:W3CDTF">2026-08-23T08:26:40Z</dcterms:modified>
</cp:coreProperties>
</file>